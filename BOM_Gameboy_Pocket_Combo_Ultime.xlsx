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Combo Ul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G4" authorId="0">
      <text>
        <r>
          <rPr>
            <sz val="10"/>
            <rFont val="Arial"/>
            <family val="2"/>
          </rPr>
          <t xml:space="preserve">Prix indicatifs marché 2026, TTC hors port. À confirmer sur la boutique du créateur.</t>
        </r>
      </text>
    </comment>
  </commentList>
</comments>
</file>

<file path=xl/sharedStrings.xml><?xml version="1.0" encoding="utf-8"?>
<sst xmlns="http://schemas.openxmlformats.org/spreadsheetml/2006/main" count="119" uniqueCount="85">
  <si>
    <t xml:space="preserve">Liste d'achats — Game Boy Pocket : combo ultime (IPS Q5 + USB-C + audio + coque)</t>
  </si>
  <si>
    <t xml:space="preserve">Prix indicatifs marché 2026, en € TTC hors frais de port — à confirmer sur chaque boutique. Priorité aux créateurs &amp; petites boutiques de modding. Coche la colonne ✓ au fur et à mesure des commandes.</t>
  </si>
  <si>
    <t xml:space="preserve">✓</t>
  </si>
  <si>
    <t xml:space="preserve">Priorité</t>
  </si>
  <si>
    <t xml:space="preserve">Catégorie</t>
  </si>
  <si>
    <t xml:space="preserve">Composant</t>
  </si>
  <si>
    <t xml:space="preserve">Spécification / à savoir</t>
  </si>
  <si>
    <t xml:space="preserve">Qté</t>
  </si>
  <si>
    <t xml:space="preserve">Prix unit.</t>
  </si>
  <si>
    <t xml:space="preserve">Sous-total</t>
  </si>
  <si>
    <t xml:space="preserve">Créateur / Boutique</t>
  </si>
  <si>
    <t xml:space="preserve">Lien</t>
  </si>
  <si>
    <t xml:space="preserve">Pièges / notes</t>
  </si>
  <si>
    <t xml:space="preserve">Indispensable</t>
  </si>
  <si>
    <t xml:space="preserve">Écran</t>
  </si>
  <si>
    <t xml:space="preserve">Écran IPS FunnyPlaying Q5 (Pocket)</t>
  </si>
  <si>
    <t xml:space="preserve">Dalle IPS laminée, 36 palettes couleur, mode RetroPixel, capteur tactile. Lentille laminée INCLUSE.</t>
  </si>
  <si>
    <t xml:space="preserve">FunnyPlaying (authentique)</t>
  </si>
  <si>
    <t xml:space="preserve">ouvrir</t>
  </si>
  <si>
    <t xml:space="preserve">Achte le VRAI FunnyPlaying, pas un clone. Retirer les brackets d'origine + souder alim &amp; tactile.</t>
  </si>
  <si>
    <t xml:space="preserve">Coque</t>
  </si>
  <si>
    <t xml:space="preserve">Coque IPS-ready GBP</t>
  </si>
  <si>
    <t xml:space="preserve">Coque pré-découpée pour dalle Q5 (pas de trim). FunnyPlaying ou RetroSix.</t>
  </si>
  <si>
    <t xml:space="preserve">FunnyPlaying / RetroSix</t>
  </si>
  <si>
    <t xml:space="preserve">Pré-découpée pour l'IPS seulement : tu devras percer/limer le trou USB-C toi-même.</t>
  </si>
  <si>
    <t xml:space="preserve">Boutons</t>
  </si>
  <si>
    <t xml:space="preserve">Membranes silicone conductrices GBP</t>
  </si>
  <si>
    <t xml:space="preserve">Jeu complet (croix, A/B, Start/Select). Non fournies avec la coque.</t>
  </si>
  <si>
    <t xml:space="preserve">Indispensable avec une coque neuve. Réactivité des boutons = ces pads.</t>
  </si>
  <si>
    <t xml:space="preserve">Optionnel</t>
  </si>
  <si>
    <t xml:space="preserve">Jeu de boutons couleur (A/B, croix, Start/Select)</t>
  </si>
  <si>
    <t xml:space="preserve">Boutons de remplacement, 20+ coloris.</t>
  </si>
  <si>
    <t xml:space="preserve">Retro Modding / petite boutique</t>
  </si>
  <si>
    <t xml:space="preserve">Optionnel si tu réutilises tes boutons d'origine (juste pour la couleur/le neuf).</t>
  </si>
  <si>
    <t xml:space="preserve">Alimentation</t>
  </si>
  <si>
    <t xml:space="preserve">Kit USB-C Giltesa (Pocket)</t>
  </si>
  <si>
    <t xml:space="preserve">Carte de charge USB-C + Li-ion (TP4056 + DW01A), LED charge/plein/jeu. Design de l'auteur.</t>
  </si>
  <si>
    <t xml:space="preserve">Giltesa (Tindie / shop.giltesa.com)</t>
  </si>
  <si>
    <t xml:space="preserve">Petit créateur — achte chez lui. Découpe coque pour le port USB-C. Batterie souvent NON incluse : voir ligne suivante.</t>
  </si>
  <si>
    <t xml:space="preserve">Cellule Li-ion protégée ~600-1000 mAh</t>
  </si>
  <si>
    <t xml:space="preserve">Format compatible logement GBP (ex. 503450). Avec circuit de protection.</t>
  </si>
  <si>
    <t xml:space="preserve">selon reco Giltesa</t>
  </si>
  <si>
    <t xml:space="preserve">Vérifie le format exact recommandé dans la doc GitHub de Giltesa. Inutile si ton kit l'inclut.</t>
  </si>
  <si>
    <t xml:space="preserve">Audio</t>
  </si>
  <si>
    <t xml:space="preserve">Ampli GBAmp3.6 (Anton Veretenenko)</t>
  </si>
  <si>
    <t xml:space="preserve">Ampli Class-D Hi-Fi, plus fort et plus propre que l'ampli interne.</t>
  </si>
  <si>
    <t xml:space="preserve">Anton Veretenenko (veretenenko.ru)</t>
  </si>
  <si>
    <t xml:space="preserve">Petit créateur (Tindie parfois en pause → son site). Souder ~8 fils. Alternative : RetroSix CleanAmp (HP inclus).</t>
  </si>
  <si>
    <t xml:space="preserve">Recommandé</t>
  </si>
  <si>
    <t xml:space="preserve">Haut-parleur de remplacement</t>
  </si>
  <si>
    <t xml:space="preserve">HP plus costaud que l'OEM (qui sature quand on pousse le volume).</t>
  </si>
  <si>
    <t xml:space="preserve">Inutile si tu prends le CleanAmp (HP fourni).</t>
  </si>
  <si>
    <t xml:space="preserve">Restauration</t>
  </si>
  <si>
    <t xml:space="preserve">Kit recap (4 condensateurs)</t>
  </si>
  <si>
    <t xml:space="preserve">33µF/25V (C29), 330µF/6V (C30), 100µF/6V (C31), 100µF/6V (C32). Marques Panasonic/Nichicon/Rubycon.</t>
  </si>
  <si>
    <t xml:space="preserve">Retro Game Repair Shop / Console5</t>
  </si>
  <si>
    <t xml:space="preserve">À faire si la console est fatiguée (n'allume pas / son ou image dégradés). Sinon skip.</t>
  </si>
  <si>
    <t xml:space="preserve">Déjà équipé</t>
  </si>
  <si>
    <t xml:space="preserve">Consommable</t>
  </si>
  <si>
    <t xml:space="preserve">Fil fin 30 AWG (Kynar/émaillé)</t>
  </si>
  <si>
    <t xml:space="preserve">Pour câblage tactile IPS + alimentation.</t>
  </si>
  <si>
    <t xml:space="preserve">générique</t>
  </si>
  <si>
    <t xml:space="preserve">—</t>
  </si>
  <si>
    <t xml:space="preserve">Vérifie ton stock — tu es équipé.</t>
  </si>
  <si>
    <t xml:space="preserve">Soudure + flux + tresse à dessouder</t>
  </si>
  <si>
    <t xml:space="preserve">Sn63/Pb37 conseillé, flux liquide, tresse pour retirer les caps.</t>
  </si>
  <si>
    <t xml:space="preserve">Utile surtout pour le recap et l'IPS.</t>
  </si>
  <si>
    <t xml:space="preserve">Ruban Kapton</t>
  </si>
  <si>
    <t xml:space="preserve">Isolation nappe / backlight / câbles.</t>
  </si>
  <si>
    <t xml:space="preserve">Outillage</t>
  </si>
  <si>
    <t xml:space="preserve">Tournevis tri-wing (Nintendo) + spudger</t>
  </si>
  <si>
    <t xml:space="preserve">La coque GBP est vissée en tri-wing. Spudger/médiator pour ouvrir.</t>
  </si>
  <si>
    <t xml:space="preserve">Indispensable pour ouvrir sans casser les clips.</t>
  </si>
  <si>
    <t xml:space="preserve">Alcool isopropylique 99%</t>
  </si>
  <si>
    <t xml:space="preserve">Nettoyage pads, contacts piles, résidus de flux.</t>
  </si>
  <si>
    <t xml:space="preserve">Total indispensable</t>
  </si>
  <si>
    <t xml:space="preserve">Total recommandé</t>
  </si>
  <si>
    <t xml:space="preserve">Total optionnel</t>
  </si>
  <si>
    <t xml:space="preserve">Sous-total pièces (hors consommables)</t>
  </si>
  <si>
    <t xml:space="preserve">Consommables/outillage (si à acheter)</t>
  </si>
  <si>
    <t xml:space="preserve">TOTAL si tout acheté</t>
  </si>
  <si>
    <t xml:space="preserve">Légende priorité :</t>
  </si>
  <si>
    <t xml:space="preserve">Indispensable = requis pour le combo · Recommandé = fortement conseillé · Optionnel = confort/esthétique · Déjà équipé = tu l'as déjà (soudure).</t>
  </si>
  <si>
    <t xml:space="preserve">Rappel :</t>
  </si>
  <si>
    <t xml:space="preserve">La GBP reste monochrome ; l'IPS ajoute des palettes de fausse couleur (pas les jeux Game Boy Color). Le kit Q5 laminé inclut déjà la lentille verre.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</si>
</sst>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2333B"/>
        <bgColor rgb="FF1F3B4D"/>
      </patternFill>
    </fill>
    <fill>
      <patternFill patternType="solid">
        <fgColor rgb="FF1F3B4D"/>
        <bgColor rgb="FF12333B"/>
      </patternFill>
    </fill>
    <fill>
      <patternFill patternType="solid">
        <fgColor rgb="FFC0392B"/>
        <bgColor rgb="FF993366"/>
      </patternFill>
    </fill>
    <fill>
      <patternFill patternType="solid">
        <fgColor rgb="FF5D6D7E"/>
        <bgColor rgb="FF2E6F73"/>
      </patternFill>
    </fill>
    <fill>
      <patternFill patternType="solid">
        <fgColor rgb="FFB9770E"/>
        <bgColor rgb="FFFF6600"/>
      </patternFill>
    </fill>
    <fill>
      <patternFill patternType="solid">
        <fgColor rgb="FF7F8C8D"/>
        <bgColor rgb="FF969696"/>
      </patternFill>
    </fill>
    <fill>
      <patternFill patternType="solid">
        <fgColor rgb="FF2E6F73"/>
        <bgColor rgb="FF5D6D7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2E6F73"/>
      <rgbColor rgb="FFBBBBBB"/>
      <rgbColor rgb="FF7F8C8D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2333B"/>
      <rgbColor rgb="FF339966"/>
      <rgbColor rgb="FF003300"/>
      <rgbColor rgb="FF444444"/>
      <rgbColor rgb="FFC0392B"/>
      <rgbColor rgb="FF993366"/>
      <rgbColor rgb="FF1F3B4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handheldlegend.com/products/game-boy-pocket-ips-lcd-backlight" TargetMode="External"/><Relationship Id="rId3" Type="http://schemas.openxmlformats.org/officeDocument/2006/relationships/hyperlink" Target="https://retrogamerepairshop.com/products/funnyplaying-game-boy-pocket-q5-ips-ready-shell-housing-no-cut" TargetMode="External"/><Relationship Id="rId4" Type="http://schemas.openxmlformats.org/officeDocument/2006/relationships/hyperlink" Target="https://handheldlegend.com/products/game-boy-pocket-silicone-button-pads" TargetMode="External"/><Relationship Id="rId5" Type="http://schemas.openxmlformats.org/officeDocument/2006/relationships/hyperlink" Target="https://www.retromodding.com/products/game-boy-pocket-buttons" TargetMode="External"/><Relationship Id="rId6" Type="http://schemas.openxmlformats.org/officeDocument/2006/relationships/hyperlink" Target="https://www.tindie.com/products/giltesa/usb-c-charging-kit-for-game-boy-pocket/" TargetMode="External"/><Relationship Id="rId7" Type="http://schemas.openxmlformats.org/officeDocument/2006/relationships/hyperlink" Target="https://github.com/giltesa/Game-Boy-Pocket-USB-C-charging-Mod" TargetMode="External"/><Relationship Id="rId8" Type="http://schemas.openxmlformats.org/officeDocument/2006/relationships/hyperlink" Target="https://veretenenko.ru/anton/gbamp3/" TargetMode="External"/><Relationship Id="rId9" Type="http://schemas.openxmlformats.org/officeDocument/2006/relationships/hyperlink" Target="https://www.retromodding.com/products/gameboy-advance-color-pocket-speaker" TargetMode="External"/><Relationship Id="rId10" Type="http://schemas.openxmlformats.org/officeDocument/2006/relationships/hyperlink" Target="https://retrogamerepairshop.com/products/game-boy-pocket-capacitor-replacement-set" TargetMode="External"/><Relationship Id="rId11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8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2" hidden="false" customHeight="true" outlineLevel="0" collapsed="false">
      <c r="A5" s="4"/>
      <c r="B5" s="5" t="s">
        <v>13</v>
      </c>
      <c r="C5" s="6" t="s">
        <v>14</v>
      </c>
      <c r="D5" s="7" t="s">
        <v>15</v>
      </c>
      <c r="E5" s="6" t="s">
        <v>16</v>
      </c>
      <c r="F5" s="8" t="n">
        <v>1</v>
      </c>
      <c r="G5" s="9" t="n">
        <v>35</v>
      </c>
      <c r="H5" s="10" t="n">
        <f aca="false">F5*G5</f>
        <v>35</v>
      </c>
      <c r="I5" s="6" t="s">
        <v>17</v>
      </c>
      <c r="J5" s="11" t="s">
        <v>18</v>
      </c>
      <c r="K5" s="12" t="s">
        <v>19</v>
      </c>
    </row>
    <row r="6" customFormat="false" ht="42" hidden="false" customHeight="true" outlineLevel="0" collapsed="false">
      <c r="A6" s="4"/>
      <c r="B6" s="5" t="s">
        <v>13</v>
      </c>
      <c r="C6" s="6" t="s">
        <v>20</v>
      </c>
      <c r="D6" s="7" t="s">
        <v>21</v>
      </c>
      <c r="E6" s="6" t="s">
        <v>22</v>
      </c>
      <c r="F6" s="8" t="n">
        <v>1</v>
      </c>
      <c r="G6" s="9" t="n">
        <v>15</v>
      </c>
      <c r="H6" s="10" t="n">
        <f aca="false">F6*G6</f>
        <v>15</v>
      </c>
      <c r="I6" s="6" t="s">
        <v>23</v>
      </c>
      <c r="J6" s="11" t="s">
        <v>18</v>
      </c>
      <c r="K6" s="12" t="s">
        <v>24</v>
      </c>
    </row>
    <row r="7" customFormat="false" ht="42" hidden="false" customHeight="true" outlineLevel="0" collapsed="false">
      <c r="A7" s="4"/>
      <c r="B7" s="5" t="s">
        <v>13</v>
      </c>
      <c r="C7" s="6" t="s">
        <v>25</v>
      </c>
      <c r="D7" s="7" t="s">
        <v>26</v>
      </c>
      <c r="E7" s="6" t="s">
        <v>27</v>
      </c>
      <c r="F7" s="8" t="n">
        <v>1</v>
      </c>
      <c r="G7" s="9" t="n">
        <v>6</v>
      </c>
      <c r="H7" s="10" t="n">
        <f aca="false">F7*G7</f>
        <v>6</v>
      </c>
      <c r="I7" s="6" t="s">
        <v>23</v>
      </c>
      <c r="J7" s="11" t="s">
        <v>18</v>
      </c>
      <c r="K7" s="12" t="s">
        <v>28</v>
      </c>
    </row>
    <row r="8" customFormat="false" ht="42" hidden="false" customHeight="true" outlineLevel="0" collapsed="false">
      <c r="A8" s="4"/>
      <c r="B8" s="13" t="s">
        <v>29</v>
      </c>
      <c r="C8" s="6" t="s">
        <v>25</v>
      </c>
      <c r="D8" s="7" t="s">
        <v>30</v>
      </c>
      <c r="E8" s="6" t="s">
        <v>31</v>
      </c>
      <c r="F8" s="8" t="n">
        <v>1</v>
      </c>
      <c r="G8" s="9" t="n">
        <v>6</v>
      </c>
      <c r="H8" s="10" t="n">
        <f aca="false">F8*G8</f>
        <v>6</v>
      </c>
      <c r="I8" s="6" t="s">
        <v>32</v>
      </c>
      <c r="J8" s="11" t="s">
        <v>18</v>
      </c>
      <c r="K8" s="12" t="s">
        <v>33</v>
      </c>
    </row>
    <row r="9" customFormat="false" ht="42" hidden="false" customHeight="true" outlineLevel="0" collapsed="false">
      <c r="A9" s="4"/>
      <c r="B9" s="5" t="s">
        <v>13</v>
      </c>
      <c r="C9" s="6" t="s">
        <v>34</v>
      </c>
      <c r="D9" s="7" t="s">
        <v>35</v>
      </c>
      <c r="E9" s="6" t="s">
        <v>36</v>
      </c>
      <c r="F9" s="8" t="n">
        <v>1</v>
      </c>
      <c r="G9" s="9" t="n">
        <v>18</v>
      </c>
      <c r="H9" s="10" t="n">
        <f aca="false">F9*G9</f>
        <v>18</v>
      </c>
      <c r="I9" s="6" t="s">
        <v>37</v>
      </c>
      <c r="J9" s="11" t="s">
        <v>18</v>
      </c>
      <c r="K9" s="12" t="s">
        <v>38</v>
      </c>
    </row>
    <row r="10" customFormat="false" ht="42" hidden="false" customHeight="true" outlineLevel="0" collapsed="false">
      <c r="A10" s="4"/>
      <c r="B10" s="5" t="s">
        <v>13</v>
      </c>
      <c r="C10" s="6" t="s">
        <v>34</v>
      </c>
      <c r="D10" s="7" t="s">
        <v>39</v>
      </c>
      <c r="E10" s="6" t="s">
        <v>40</v>
      </c>
      <c r="F10" s="8" t="n">
        <v>1</v>
      </c>
      <c r="G10" s="9" t="n">
        <v>8</v>
      </c>
      <c r="H10" s="10" t="n">
        <f aca="false">F10*G10</f>
        <v>8</v>
      </c>
      <c r="I10" s="6" t="s">
        <v>41</v>
      </c>
      <c r="J10" s="11" t="s">
        <v>18</v>
      </c>
      <c r="K10" s="12" t="s">
        <v>42</v>
      </c>
    </row>
    <row r="11" customFormat="false" ht="42" hidden="false" customHeight="true" outlineLevel="0" collapsed="false">
      <c r="A11" s="4"/>
      <c r="B11" s="5" t="s">
        <v>13</v>
      </c>
      <c r="C11" s="6" t="s">
        <v>43</v>
      </c>
      <c r="D11" s="7" t="s">
        <v>44</v>
      </c>
      <c r="E11" s="6" t="s">
        <v>45</v>
      </c>
      <c r="F11" s="8" t="n">
        <v>1</v>
      </c>
      <c r="G11" s="9" t="n">
        <v>20</v>
      </c>
      <c r="H11" s="10" t="n">
        <f aca="false">F11*G11</f>
        <v>20</v>
      </c>
      <c r="I11" s="6" t="s">
        <v>46</v>
      </c>
      <c r="J11" s="11" t="s">
        <v>18</v>
      </c>
      <c r="K11" s="12" t="s">
        <v>47</v>
      </c>
    </row>
    <row r="12" customFormat="false" ht="42" hidden="false" customHeight="true" outlineLevel="0" collapsed="false">
      <c r="A12" s="4"/>
      <c r="B12" s="14" t="s">
        <v>48</v>
      </c>
      <c r="C12" s="6" t="s">
        <v>43</v>
      </c>
      <c r="D12" s="7" t="s">
        <v>49</v>
      </c>
      <c r="E12" s="6" t="s">
        <v>50</v>
      </c>
      <c r="F12" s="8" t="n">
        <v>1</v>
      </c>
      <c r="G12" s="9" t="n">
        <v>5</v>
      </c>
      <c r="H12" s="10" t="n">
        <f aca="false">F12*G12</f>
        <v>5</v>
      </c>
      <c r="I12" s="6" t="s">
        <v>32</v>
      </c>
      <c r="J12" s="11" t="s">
        <v>18</v>
      </c>
      <c r="K12" s="12" t="s">
        <v>51</v>
      </c>
    </row>
    <row r="13" customFormat="false" ht="42" hidden="false" customHeight="true" outlineLevel="0" collapsed="false">
      <c r="A13" s="4"/>
      <c r="B13" s="14" t="s">
        <v>48</v>
      </c>
      <c r="C13" s="6" t="s">
        <v>52</v>
      </c>
      <c r="D13" s="7" t="s">
        <v>53</v>
      </c>
      <c r="E13" s="6" t="s">
        <v>54</v>
      </c>
      <c r="F13" s="8" t="n">
        <v>1</v>
      </c>
      <c r="G13" s="9" t="n">
        <v>7</v>
      </c>
      <c r="H13" s="10" t="n">
        <f aca="false">F13*G13</f>
        <v>7</v>
      </c>
      <c r="I13" s="6" t="s">
        <v>55</v>
      </c>
      <c r="J13" s="11" t="s">
        <v>18</v>
      </c>
      <c r="K13" s="12" t="s">
        <v>56</v>
      </c>
    </row>
    <row r="14" customFormat="false" ht="42" hidden="false" customHeight="true" outlineLevel="0" collapsed="false">
      <c r="A14" s="4"/>
      <c r="B14" s="15" t="s">
        <v>57</v>
      </c>
      <c r="C14" s="6" t="s">
        <v>58</v>
      </c>
      <c r="D14" s="7" t="s">
        <v>59</v>
      </c>
      <c r="E14" s="6" t="s">
        <v>60</v>
      </c>
      <c r="F14" s="8" t="n">
        <v>1</v>
      </c>
      <c r="G14" s="9" t="n">
        <v>6</v>
      </c>
      <c r="H14" s="10" t="n">
        <f aca="false">F14*G14</f>
        <v>6</v>
      </c>
      <c r="I14" s="6" t="s">
        <v>61</v>
      </c>
      <c r="J14" s="8" t="s">
        <v>62</v>
      </c>
      <c r="K14" s="12" t="s">
        <v>63</v>
      </c>
    </row>
    <row r="15" customFormat="false" ht="42" hidden="false" customHeight="true" outlineLevel="0" collapsed="false">
      <c r="A15" s="4"/>
      <c r="B15" s="15" t="s">
        <v>57</v>
      </c>
      <c r="C15" s="6" t="s">
        <v>58</v>
      </c>
      <c r="D15" s="7" t="s">
        <v>64</v>
      </c>
      <c r="E15" s="6" t="s">
        <v>65</v>
      </c>
      <c r="F15" s="8" t="n">
        <v>1</v>
      </c>
      <c r="G15" s="9" t="n">
        <v>10</v>
      </c>
      <c r="H15" s="10" t="n">
        <f aca="false">F15*G15</f>
        <v>10</v>
      </c>
      <c r="I15" s="6" t="s">
        <v>61</v>
      </c>
      <c r="J15" s="8" t="s">
        <v>62</v>
      </c>
      <c r="K15" s="12" t="s">
        <v>66</v>
      </c>
    </row>
    <row r="16" customFormat="false" ht="42" hidden="false" customHeight="true" outlineLevel="0" collapsed="false">
      <c r="A16" s="4"/>
      <c r="B16" s="15" t="s">
        <v>57</v>
      </c>
      <c r="C16" s="6" t="s">
        <v>58</v>
      </c>
      <c r="D16" s="7" t="s">
        <v>67</v>
      </c>
      <c r="E16" s="6" t="s">
        <v>68</v>
      </c>
      <c r="F16" s="8" t="n">
        <v>1</v>
      </c>
      <c r="G16" s="9" t="n">
        <v>5</v>
      </c>
      <c r="H16" s="10" t="n">
        <f aca="false">F16*G16</f>
        <v>5</v>
      </c>
      <c r="I16" s="6" t="s">
        <v>61</v>
      </c>
      <c r="J16" s="8" t="s">
        <v>62</v>
      </c>
      <c r="K16" s="12"/>
    </row>
    <row r="17" customFormat="false" ht="42" hidden="false" customHeight="true" outlineLevel="0" collapsed="false">
      <c r="A17" s="4"/>
      <c r="B17" s="15" t="s">
        <v>57</v>
      </c>
      <c r="C17" s="6" t="s">
        <v>69</v>
      </c>
      <c r="D17" s="7" t="s">
        <v>70</v>
      </c>
      <c r="E17" s="6" t="s">
        <v>71</v>
      </c>
      <c r="F17" s="8" t="n">
        <v>1</v>
      </c>
      <c r="G17" s="9" t="n">
        <v>8</v>
      </c>
      <c r="H17" s="10" t="n">
        <f aca="false">F17*G17</f>
        <v>8</v>
      </c>
      <c r="I17" s="6" t="s">
        <v>61</v>
      </c>
      <c r="J17" s="8" t="s">
        <v>62</v>
      </c>
      <c r="K17" s="12" t="s">
        <v>72</v>
      </c>
    </row>
    <row r="18" customFormat="false" ht="42" hidden="false" customHeight="true" outlineLevel="0" collapsed="false">
      <c r="A18" s="4"/>
      <c r="B18" s="15" t="s">
        <v>57</v>
      </c>
      <c r="C18" s="6" t="s">
        <v>58</v>
      </c>
      <c r="D18" s="7" t="s">
        <v>73</v>
      </c>
      <c r="E18" s="6" t="s">
        <v>74</v>
      </c>
      <c r="F18" s="8" t="n">
        <v>1</v>
      </c>
      <c r="G18" s="9" t="n">
        <v>5</v>
      </c>
      <c r="H18" s="10" t="n">
        <f aca="false">F18*G18</f>
        <v>5</v>
      </c>
      <c r="I18" s="6" t="s">
        <v>61</v>
      </c>
      <c r="J18" s="8" t="s">
        <v>62</v>
      </c>
      <c r="K18" s="12"/>
    </row>
    <row r="20" customFormat="false" ht="21.75" hidden="false" customHeight="true" outlineLevel="0" collapsed="false">
      <c r="D20" s="16" t="s">
        <v>75</v>
      </c>
      <c r="E20" s="16"/>
      <c r="F20" s="16"/>
      <c r="G20" s="16"/>
      <c r="H20" s="17" t="n">
        <f aca="false">SUMIF($B$5:$B$18,"Indispensable",$H$5:$H$18)</f>
        <v>102</v>
      </c>
    </row>
    <row r="21" customFormat="false" ht="21.75" hidden="false" customHeight="true" outlineLevel="0" collapsed="false">
      <c r="D21" s="18" t="s">
        <v>76</v>
      </c>
      <c r="E21" s="18"/>
      <c r="F21" s="18"/>
      <c r="G21" s="18"/>
      <c r="H21" s="19" t="n">
        <f aca="false">SUMIF($B$5:$B$18,"Recommandé",$H$5:$H$18)</f>
        <v>12</v>
      </c>
    </row>
    <row r="22" customFormat="false" ht="21.75" hidden="false" customHeight="true" outlineLevel="0" collapsed="false">
      <c r="D22" s="20" t="s">
        <v>77</v>
      </c>
      <c r="E22" s="20"/>
      <c r="F22" s="20"/>
      <c r="G22" s="20"/>
      <c r="H22" s="21" t="n">
        <f aca="false">SUMIF($B$5:$B$18,"Optionnel",$H$5:$H$18)</f>
        <v>6</v>
      </c>
    </row>
    <row r="23" customFormat="false" ht="21.75" hidden="false" customHeight="true" outlineLevel="0" collapsed="false">
      <c r="D23" s="22" t="s">
        <v>78</v>
      </c>
      <c r="E23" s="22"/>
      <c r="F23" s="22"/>
      <c r="G23" s="22"/>
      <c r="H23" s="23" t="n">
        <f aca="false">H20+H21+H22</f>
        <v>120</v>
      </c>
    </row>
    <row r="24" customFormat="false" ht="21.75" hidden="false" customHeight="true" outlineLevel="0" collapsed="false">
      <c r="D24" s="24" t="s">
        <v>79</v>
      </c>
      <c r="E24" s="24"/>
      <c r="F24" s="24"/>
      <c r="G24" s="24"/>
      <c r="H24" s="25" t="n">
        <f aca="false">SUMIF($B$5:$B$18,"Déjà équipé",$H$5:$H$18)</f>
        <v>34</v>
      </c>
    </row>
    <row r="25" customFormat="false" ht="21.75" hidden="false" customHeight="true" outlineLevel="0" collapsed="false">
      <c r="D25" s="26" t="s">
        <v>80</v>
      </c>
      <c r="E25" s="26"/>
      <c r="F25" s="26"/>
      <c r="G25" s="26"/>
      <c r="H25" s="27" t="n">
        <f aca="false">SUM($H$5:$H$18)</f>
        <v>154</v>
      </c>
    </row>
    <row r="27" customFormat="false" ht="15" hidden="false" customHeight="false" outlineLevel="0" collapsed="false">
      <c r="B27" s="28" t="s">
        <v>81</v>
      </c>
      <c r="D27" s="29" t="s">
        <v>82</v>
      </c>
    </row>
    <row r="28" customFormat="false" ht="15" hidden="false" customHeight="false" outlineLevel="0" collapsed="false">
      <c r="B28" s="28" t="s">
        <v>83</v>
      </c>
      <c r="D28" s="29" t="s">
        <v>84</v>
      </c>
    </row>
  </sheetData>
  <mergeCells count="8">
    <mergeCell ref="A1:K1"/>
    <mergeCell ref="A2:K2"/>
    <mergeCell ref="D20:G20"/>
    <mergeCell ref="D21:G21"/>
    <mergeCell ref="D22:G22"/>
    <mergeCell ref="D23:G23"/>
    <mergeCell ref="D24:G24"/>
    <mergeCell ref="D25:G25"/>
  </mergeCells>
  <hyperlinks>
    <hyperlink ref="J5" r:id="rId2" display="ouvrir"/>
    <hyperlink ref="J6" r:id="rId3" display="ouvrir"/>
    <hyperlink ref="J7" r:id="rId4" display="ouvrir"/>
    <hyperlink ref="J8" r:id="rId5" display="ouvrir"/>
    <hyperlink ref="J9" r:id="rId6" display="ouvrir"/>
    <hyperlink ref="J10" r:id="rId7" display="ouvrir"/>
    <hyperlink ref="J11" r:id="rId8" display="ouvrir"/>
    <hyperlink ref="J12" r:id="rId9" display="ouvrir"/>
    <hyperlink ref="J13" r:id="rId10" display="ouv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2026-07-23T20:50:37Z</dcterms:created>
  <dc:creator>openpyxl</dc:creator>
  <dc:description/>
  <dc:language>en-US</dc:language>
  <cp:lastModifiedBy/>
  <dcterms:modified xsi:type="dcterms:W3CDTF">2026-07-23T20:50:37Z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